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archive\github\beston-9volt-battery\data\"/>
    </mc:Choice>
  </mc:AlternateContent>
  <xr:revisionPtr revIDLastSave="0" documentId="8_{730D859B-D47A-4499-B0DB-A69472A65DDC}" xr6:coauthVersionLast="47" xr6:coauthVersionMax="47" xr10:uidLastSave="{00000000-0000-0000-0000-000000000000}"/>
  <bookViews>
    <workbookView xWindow="6990" yWindow="30" windowWidth="26505" windowHeight="15705" activeTab="1" xr2:uid="{00000000-000D-0000-FFFF-FFFF00000000}"/>
  </bookViews>
  <sheets>
    <sheet name="battery3" sheetId="1" r:id="rId1"/>
    <sheet name="usb_battery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2" l="1"/>
  <c r="H2" i="2"/>
  <c r="J3" i="2"/>
  <c r="K2" i="1"/>
  <c r="J2" i="1"/>
</calcChain>
</file>

<file path=xl/sharedStrings.xml><?xml version="1.0" encoding="utf-8"?>
<sst xmlns="http://schemas.openxmlformats.org/spreadsheetml/2006/main" count="22" uniqueCount="11">
  <si>
    <t>date</t>
  </si>
  <si>
    <t>discharge_mA</t>
  </si>
  <si>
    <t>charge_mA</t>
  </si>
  <si>
    <t>mAh_d</t>
  </si>
  <si>
    <t>mAh_c</t>
  </si>
  <si>
    <t>time_c</t>
  </si>
  <si>
    <t>time_d</t>
  </si>
  <si>
    <t>Wh_d</t>
  </si>
  <si>
    <t>Wh_c</t>
  </si>
  <si>
    <t>v_end_d</t>
  </si>
  <si>
    <t>v_end_c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</si>
</sst>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yyyy\-mm\-dd;@"/>
    <numFmt numFmtId="166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workbookViewId="0">
      <pane ySplit="1" topLeftCell="A2" activePane="bottomLeft" state="frozen"/>
      <selection pane="bottomLeft" activeCell="F20" sqref="F20"/>
    </sheetView>
  </sheetViews>
  <sheetFormatPr defaultRowHeight="15" x14ac:dyDescent="0.25"/>
  <cols>
    <col min="1" max="1" width="10.42578125" bestFit="1" customWidth="1"/>
    <col min="2" max="2" width="13.5703125" bestFit="1" customWidth="1"/>
    <col min="3" max="4" width="7.28515625" bestFit="1" customWidth="1"/>
    <col min="5" max="5" width="8.5703125" bestFit="1" customWidth="1"/>
    <col min="6" max="6" width="10.85546875" bestFit="1" customWidth="1"/>
    <col min="7" max="8" width="7" bestFit="1" customWidth="1"/>
    <col min="9" max="9" width="8.28515625" bestFit="1" customWidth="1"/>
    <col min="10" max="10" width="6.140625" bestFit="1" customWidth="1"/>
    <col min="11" max="11" width="5.85546875" bestFit="1" customWidth="1"/>
  </cols>
  <sheetData>
    <row r="1" spans="1:11" x14ac:dyDescent="0.25">
      <c r="A1" s="4" t="s">
        <v>0</v>
      </c>
      <c r="B1" t="s">
        <v>1</v>
      </c>
      <c r="C1" t="s">
        <v>3</v>
      </c>
      <c r="D1" t="s">
        <v>6</v>
      </c>
      <c r="E1" s="4" t="s">
        <v>9</v>
      </c>
      <c r="F1" t="s">
        <v>2</v>
      </c>
      <c r="G1" t="s">
        <v>4</v>
      </c>
      <c r="H1" t="s">
        <v>5</v>
      </c>
      <c r="I1" s="4" t="s">
        <v>10</v>
      </c>
      <c r="J1" t="s">
        <v>7</v>
      </c>
      <c r="K1" t="s">
        <v>8</v>
      </c>
    </row>
    <row r="2" spans="1:11" x14ac:dyDescent="0.25">
      <c r="A2" s="5">
        <v>46115</v>
      </c>
      <c r="B2">
        <v>200</v>
      </c>
      <c r="C2">
        <v>365</v>
      </c>
      <c r="D2">
        <v>107</v>
      </c>
      <c r="E2" s="4">
        <v>6.71</v>
      </c>
      <c r="F2">
        <v>200</v>
      </c>
      <c r="G2">
        <v>526</v>
      </c>
      <c r="H2">
        <v>158</v>
      </c>
      <c r="I2" s="4">
        <v>8.17</v>
      </c>
      <c r="J2" s="3">
        <f>3.7*2*C2/1000</f>
        <v>2.7010000000000001</v>
      </c>
      <c r="K2" s="3">
        <f>3.7*2*G2/1000</f>
        <v>3.8924000000000003</v>
      </c>
    </row>
    <row r="3" spans="1:11" x14ac:dyDescent="0.25">
      <c r="A3" s="5">
        <v>46119</v>
      </c>
      <c r="B3">
        <v>100</v>
      </c>
      <c r="E3" s="4"/>
      <c r="I3" s="4"/>
    </row>
    <row r="4" spans="1:11" x14ac:dyDescent="0.25">
      <c r="A4" s="5"/>
      <c r="E4" s="4"/>
      <c r="I4" s="4"/>
    </row>
    <row r="5" spans="1:11" x14ac:dyDescent="0.25">
      <c r="A5" s="5"/>
      <c r="E5" s="4"/>
      <c r="I5" s="4"/>
    </row>
    <row r="6" spans="1:11" x14ac:dyDescent="0.25">
      <c r="A6" s="5"/>
      <c r="E6" s="4"/>
      <c r="I6" s="4"/>
    </row>
    <row r="7" spans="1:11" x14ac:dyDescent="0.25">
      <c r="A7" s="5"/>
      <c r="E7" s="4"/>
      <c r="I7" s="4"/>
    </row>
    <row r="8" spans="1:11" x14ac:dyDescent="0.25">
      <c r="A8" s="5"/>
      <c r="E8" s="4"/>
      <c r="I8" s="4"/>
    </row>
    <row r="9" spans="1:11" x14ac:dyDescent="0.25">
      <c r="A9" s="5"/>
      <c r="E9" s="4"/>
      <c r="I9" s="4"/>
    </row>
    <row r="10" spans="1:11" x14ac:dyDescent="0.25">
      <c r="A10" s="5"/>
      <c r="E10" s="4"/>
      <c r="I10" s="4"/>
    </row>
    <row r="11" spans="1:11" x14ac:dyDescent="0.25">
      <c r="A11" s="5"/>
      <c r="E11" s="4"/>
      <c r="I11" s="4"/>
    </row>
    <row r="12" spans="1:11" x14ac:dyDescent="0.25">
      <c r="A12" s="5"/>
      <c r="E12" s="4"/>
      <c r="I12" s="4"/>
    </row>
    <row r="13" spans="1:11" x14ac:dyDescent="0.25">
      <c r="A13" s="5"/>
      <c r="E13" s="4"/>
      <c r="I13" s="4"/>
    </row>
    <row r="14" spans="1:11" x14ac:dyDescent="0.25">
      <c r="A14" s="5"/>
      <c r="E14" s="4"/>
      <c r="I14" s="4"/>
    </row>
    <row r="15" spans="1:11" x14ac:dyDescent="0.25">
      <c r="A15" s="5"/>
      <c r="E15" s="4"/>
      <c r="I15" s="4"/>
    </row>
    <row r="16" spans="1:11" x14ac:dyDescent="0.25">
      <c r="A16" s="5"/>
      <c r="E16" s="4"/>
      <c r="I16" s="4"/>
    </row>
    <row r="17" spans="1:9" x14ac:dyDescent="0.25">
      <c r="A17" s="5"/>
      <c r="E17" s="4"/>
      <c r="I17" s="4"/>
    </row>
    <row r="18" spans="1:9" x14ac:dyDescent="0.25">
      <c r="A18" s="5"/>
      <c r="E18" s="4"/>
      <c r="I18" s="4"/>
    </row>
    <row r="19" spans="1:9" x14ac:dyDescent="0.25">
      <c r="A19" s="5"/>
      <c r="E19" s="4"/>
      <c r="I19" s="4"/>
    </row>
    <row r="20" spans="1:9" x14ac:dyDescent="0.25">
      <c r="A20" s="5"/>
      <c r="E20" s="4"/>
      <c r="I20" s="4"/>
    </row>
    <row r="21" spans="1:9" x14ac:dyDescent="0.25">
      <c r="A21" s="5"/>
      <c r="E21" s="4"/>
      <c r="I21" s="4"/>
    </row>
    <row r="22" spans="1:9" x14ac:dyDescent="0.25">
      <c r="A22" s="5"/>
      <c r="E22" s="4"/>
      <c r="I22" s="4"/>
    </row>
    <row r="23" spans="1:9" x14ac:dyDescent="0.25">
      <c r="A23" s="5"/>
      <c r="E23" s="4"/>
      <c r="I23" s="4"/>
    </row>
    <row r="24" spans="1:9" x14ac:dyDescent="0.25">
      <c r="A24" s="5"/>
      <c r="E24" s="4"/>
      <c r="I24" s="4"/>
    </row>
    <row r="25" spans="1:9" x14ac:dyDescent="0.25">
      <c r="A25" s="5"/>
      <c r="E25" s="4"/>
      <c r="I25" s="4"/>
    </row>
    <row r="26" spans="1:9" x14ac:dyDescent="0.25">
      <c r="A26" s="1"/>
    </row>
    <row r="27" spans="1:9" x14ac:dyDescent="0.25">
      <c r="A27" s="1"/>
    </row>
    <row r="28" spans="1:9" x14ac:dyDescent="0.25">
      <c r="A28" s="1"/>
    </row>
    <row r="29" spans="1:9" x14ac:dyDescent="0.25">
      <c r="A29" s="1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EB499-7D22-443E-9534-E4ED367A3969}">
  <dimension ref="A1:K20"/>
  <sheetViews>
    <sheetView tabSelected="1" workbookViewId="0">
      <pane ySplit="1" topLeftCell="A2" activePane="bottomLeft" state="frozen"/>
      <selection pane="bottomLeft" activeCell="K4" sqref="K4"/>
    </sheetView>
  </sheetViews>
  <sheetFormatPr defaultRowHeight="15" x14ac:dyDescent="0.25"/>
  <cols>
    <col min="1" max="1" width="10.42578125" bestFit="1" customWidth="1"/>
    <col min="2" max="2" width="13.5703125" bestFit="1" customWidth="1"/>
    <col min="3" max="4" width="7.28515625" bestFit="1" customWidth="1"/>
    <col min="5" max="5" width="8.5703125" bestFit="1" customWidth="1"/>
    <col min="6" max="6" width="10.85546875" bestFit="1" customWidth="1"/>
    <col min="7" max="8" width="7" bestFit="1" customWidth="1"/>
    <col min="9" max="9" width="8.28515625" bestFit="1" customWidth="1"/>
    <col min="10" max="10" width="6.140625" bestFit="1" customWidth="1"/>
    <col min="11" max="11" width="5.85546875" bestFit="1" customWidth="1"/>
  </cols>
  <sheetData>
    <row r="1" spans="1:11" x14ac:dyDescent="0.25">
      <c r="A1" s="4" t="s">
        <v>0</v>
      </c>
      <c r="B1" t="s">
        <v>1</v>
      </c>
      <c r="C1" t="s">
        <v>3</v>
      </c>
      <c r="D1" t="s">
        <v>6</v>
      </c>
      <c r="E1" s="4" t="s">
        <v>9</v>
      </c>
      <c r="F1" t="s">
        <v>2</v>
      </c>
      <c r="G1" t="s">
        <v>4</v>
      </c>
      <c r="H1" t="s">
        <v>5</v>
      </c>
      <c r="I1" s="4" t="s">
        <v>10</v>
      </c>
      <c r="J1" t="s">
        <v>7</v>
      </c>
      <c r="K1" t="s">
        <v>8</v>
      </c>
    </row>
    <row r="2" spans="1:11" x14ac:dyDescent="0.25">
      <c r="A2" s="5">
        <v>46115</v>
      </c>
      <c r="E2" s="4"/>
      <c r="F2">
        <v>355</v>
      </c>
      <c r="G2">
        <v>1121</v>
      </c>
      <c r="H2" s="2">
        <f>G2/F2*60</f>
        <v>189.46478873239437</v>
      </c>
      <c r="I2" s="4">
        <v>9.1300000000000008</v>
      </c>
      <c r="J2" s="3"/>
      <c r="K2" s="3">
        <v>5.7</v>
      </c>
    </row>
    <row r="3" spans="1:11" x14ac:dyDescent="0.25">
      <c r="A3" s="5">
        <v>46115</v>
      </c>
      <c r="B3">
        <v>200</v>
      </c>
      <c r="C3">
        <v>351</v>
      </c>
      <c r="D3">
        <v>103</v>
      </c>
      <c r="E3" s="4">
        <v>9.02</v>
      </c>
      <c r="F3" s="6">
        <v>355</v>
      </c>
      <c r="G3" s="6">
        <v>1101</v>
      </c>
      <c r="H3" s="2">
        <f>G3/F3*60</f>
        <v>186.08450704225351</v>
      </c>
      <c r="I3" s="4">
        <v>9.1199999999999992</v>
      </c>
      <c r="J3" s="3">
        <f>9*C3/1000</f>
        <v>3.1589999999999998</v>
      </c>
      <c r="K3" s="6">
        <v>5.6</v>
      </c>
    </row>
    <row r="4" spans="1:11" x14ac:dyDescent="0.25">
      <c r="A4" s="5"/>
      <c r="E4" s="4"/>
      <c r="I4" s="4"/>
    </row>
    <row r="5" spans="1:11" x14ac:dyDescent="0.25">
      <c r="A5" s="5"/>
      <c r="E5" s="4"/>
      <c r="I5" s="4"/>
    </row>
    <row r="6" spans="1:11" x14ac:dyDescent="0.25">
      <c r="A6" s="5"/>
      <c r="E6" s="4"/>
      <c r="I6" s="4"/>
    </row>
    <row r="7" spans="1:11" x14ac:dyDescent="0.25">
      <c r="A7" s="5"/>
      <c r="E7" s="4"/>
      <c r="I7" s="4"/>
    </row>
    <row r="8" spans="1:11" x14ac:dyDescent="0.25">
      <c r="A8" s="5"/>
      <c r="E8" s="4"/>
      <c r="I8" s="4"/>
    </row>
    <row r="9" spans="1:11" x14ac:dyDescent="0.25">
      <c r="A9" s="4"/>
      <c r="E9" s="4"/>
      <c r="I9" s="4"/>
    </row>
    <row r="10" spans="1:11" x14ac:dyDescent="0.25">
      <c r="A10" s="4"/>
      <c r="E10" s="4"/>
      <c r="I10" s="4"/>
    </row>
    <row r="11" spans="1:11" x14ac:dyDescent="0.25">
      <c r="A11" s="4"/>
      <c r="E11" s="4"/>
      <c r="I11" s="4"/>
    </row>
    <row r="12" spans="1:11" x14ac:dyDescent="0.25">
      <c r="A12" s="4"/>
      <c r="E12" s="4"/>
      <c r="I12" s="4"/>
    </row>
    <row r="13" spans="1:11" x14ac:dyDescent="0.25">
      <c r="A13" s="4"/>
      <c r="E13" s="4"/>
      <c r="I13" s="4"/>
    </row>
    <row r="14" spans="1:11" x14ac:dyDescent="0.25">
      <c r="A14" s="4"/>
      <c r="E14" s="4"/>
      <c r="I14" s="4"/>
    </row>
    <row r="15" spans="1:11" x14ac:dyDescent="0.25">
      <c r="A15" s="4"/>
      <c r="E15" s="4"/>
      <c r="I15" s="4"/>
    </row>
    <row r="16" spans="1:11" x14ac:dyDescent="0.25">
      <c r="A16" s="4"/>
      <c r="E16" s="4"/>
      <c r="I16" s="4"/>
    </row>
    <row r="17" spans="1:9" x14ac:dyDescent="0.25">
      <c r="A17" s="4"/>
      <c r="E17" s="4"/>
      <c r="I17" s="4"/>
    </row>
    <row r="18" spans="1:9" x14ac:dyDescent="0.25">
      <c r="A18" s="4"/>
      <c r="E18" s="4"/>
      <c r="I18" s="4"/>
    </row>
    <row r="19" spans="1:9" x14ac:dyDescent="0.25">
      <c r="A19" s="4"/>
      <c r="E19" s="4"/>
      <c r="I19" s="4"/>
    </row>
    <row r="20" spans="1:9" x14ac:dyDescent="0.25">
      <c r="A20" s="4"/>
      <c r="E20" s="4"/>
      <c r="I2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battery3</vt:lpstr>
      <vt:lpstr>usb_battery1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</dc:creator>
  <cp:lastModifiedBy>Matthias Kreier</cp:lastModifiedBy>
  <dcterms:created xsi:type="dcterms:W3CDTF">2015-06-05T18:19:34Z</dcterms:created>
  <dcterms:modified xsi:type="dcterms:W3CDTF">2026-04-07T03:16:39Z</dcterms:modified>
</cp:coreProperties>
</file>
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ttery1" sheetId="1" r:id="rId4"/>
    <sheet state="visible" name="battery2" sheetId="2" r:id="rId5"/>
    <sheet state="visible" name="battery3" sheetId="3" r:id="rId6"/>
    <sheet state="visible" name="battery4" sheetId="4" r:id="rId7"/>
    <sheet state="visible" name="battery5" sheetId="5" r:id="rId8"/>
    <sheet state="visible" name="battery6" sheetId="6" r:id="rId9"/>
    <sheet state="visible" name="battery7" sheetId="7" r:id="rId10"/>
    <sheet state="visible" name="4x2AN-75" sheetId="8" r:id="rId11"/>
    <sheet state="visible" name="usb_battery1" sheetId="9" r:id="rId12"/>
    <sheet state="visible" name="all" sheetId="10" r:id="rId13"/>
  </sheets>
  <definedNames/>
  <calcPr/>
  <extLst>
    <ext uri="GoogleSheetsCustomDataVersion2">
      <go:sheetsCustomData xmlns:go="http://customooxmlschemas.google.com/" r:id="rId14" roundtripDataChecksum="6WT6SUQ1PYLeiZz4dLJqC/gsgjebNeoTW/c7w0+Q1vY="/>
    </ext>
  </extLst>
</workbook>
</file>

<file path=xl/sharedStrings.xml><?xml version="1.0" encoding="utf-8"?>
<sst xmlns="http://schemas.openxmlformats.org/spreadsheetml/2006/main" count="107" uniqueCount="37">
  <si>
    <t>date</t>
  </si>
  <si>
    <t>discharge mA</t>
  </si>
  <si>
    <t>discharge mAh</t>
  </si>
  <si>
    <t>discharge time</t>
  </si>
  <si>
    <t>discharge voltage</t>
  </si>
  <si>
    <t>charge mA</t>
  </si>
  <si>
    <t>charge mAh</t>
  </si>
  <si>
    <t>charge time</t>
  </si>
  <si>
    <t>charge voltage</t>
  </si>
  <si>
    <t>discharge Wh</t>
  </si>
  <si>
    <t>charge Wh</t>
  </si>
  <si>
    <t>set</t>
  </si>
  <si>
    <t>charge mWh</t>
  </si>
  <si>
    <t>per cell</t>
  </si>
  <si>
    <t>power</t>
  </si>
  <si>
    <t>5-8 Watt</t>
  </si>
  <si>
    <t>discharge_mA</t>
  </si>
  <si>
    <t>mAh_d</t>
  </si>
  <si>
    <t>time_d</t>
  </si>
  <si>
    <t>v_end_d</t>
  </si>
  <si>
    <t>charge_mA</t>
  </si>
  <si>
    <t>mAh_c</t>
  </si>
  <si>
    <t>time_c</t>
  </si>
  <si>
    <t>v_end_c</t>
  </si>
  <si>
    <t>Wh_d</t>
  </si>
  <si>
    <t>Wh_c</t>
  </si>
  <si>
    <t>battery</t>
  </si>
  <si>
    <t>capacity Wh</t>
  </si>
  <si>
    <t>battery1</t>
  </si>
  <si>
    <t>battery2</t>
  </si>
  <si>
    <t>battery3</t>
  </si>
  <si>
    <t>battery4</t>
  </si>
  <si>
    <t>battery5</t>
  </si>
  <si>
    <t>battery6</t>
  </si>
  <si>
    <t>battery7</t>
  </si>
  <si>
    <t>battery8</t>
  </si>
  <si>
    <t>usb_battery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</si>
</sst>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\-mm\-dd"/>
    <numFmt numFmtId="165" formatCode="0.0"/>
    <numFmt numFmtId="166" formatCode="yyyy-mm-dd"/>
  </numFmts>
  <fonts count="5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4">
    <border/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3" fillId="0" fontId="2" numFmtId="164" xfId="0" applyAlignment="1" applyBorder="1" applyFont="1" applyNumberFormat="1">
      <alignment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3" fillId="0" fontId="2" numFmtId="0" xfId="0" applyAlignment="1" applyBorder="1" applyFont="1">
      <alignment horizontal="center"/>
    </xf>
    <xf borderId="0" fillId="0" fontId="2" numFmtId="165" xfId="0" applyFont="1" applyNumberFormat="1"/>
    <xf borderId="3" fillId="0" fontId="2" numFmtId="164" xfId="0" applyBorder="1" applyFont="1" applyNumberFormat="1"/>
    <xf borderId="3" fillId="0" fontId="2" numFmtId="2" xfId="0" applyAlignment="1" applyBorder="1" applyFont="1" applyNumberFormat="1">
      <alignment horizontal="center"/>
    </xf>
    <xf borderId="0" fillId="0" fontId="2" numFmtId="164" xfId="0" applyFont="1" applyNumberFormat="1"/>
    <xf borderId="3" fillId="0" fontId="2" numFmtId="0" xfId="0" applyAlignment="1" applyBorder="1" applyFont="1">
      <alignment horizontal="center" readingOrder="0"/>
    </xf>
    <xf borderId="3" fillId="0" fontId="2" numFmtId="2" xfId="0" applyAlignment="1" applyBorder="1" applyFont="1" applyNumberFormat="1">
      <alignment horizontal="center" readingOrder="0"/>
    </xf>
    <xf borderId="2" fillId="0" fontId="1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center" readingOrder="0"/>
    </xf>
    <xf borderId="0" fillId="0" fontId="3" numFmtId="0" xfId="0" applyAlignment="1" applyFont="1">
      <alignment horizontal="center"/>
    </xf>
    <xf borderId="0" fillId="0" fontId="4" numFmtId="166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4" numFmtId="1" xfId="0" applyFont="1" applyNumberFormat="1"/>
    <xf borderId="3" fillId="0" fontId="2" numFmtId="0" xfId="0" applyBorder="1" applyFont="1"/>
    <xf borderId="0" fillId="0" fontId="4" numFmtId="0" xfId="0" applyFont="1"/>
    <xf borderId="0" fillId="0" fontId="2" numFmtId="1" xfId="0" applyFont="1" applyNumberFormat="1"/>
    <xf borderId="0" fillId="0" fontId="2" numFmtId="0" xfId="0" applyFont="1"/>
    <xf borderId="0" fillId="0" fontId="2" numFmtId="0" xfId="0" applyAlignment="1" applyFont="1">
      <alignment horizontal="center" shrinkToFit="0" wrapText="1"/>
    </xf>
    <xf borderId="0" fillId="0" fontId="4" numFmtId="165" xfId="0" applyAlignment="1" applyFont="1" applyNumberFormat="1">
      <alignment readingOrder="0"/>
    </xf>
    <xf borderId="0" fillId="0" fontId="4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43"/>
    <col customWidth="1" min="2" max="5" width="9.86"/>
    <col customWidth="1" min="6" max="6" width="6.86"/>
    <col customWidth="1" min="7" max="8" width="7.0"/>
    <col customWidth="1" min="9" max="9" width="8.29"/>
    <col customWidth="1" min="10" max="10" width="9.29"/>
    <col customWidth="1" min="11" max="11" width="7.29"/>
    <col customWidth="1" min="12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2" t="s">
        <v>10</v>
      </c>
    </row>
    <row r="2">
      <c r="A2" s="4">
        <v>46106.0</v>
      </c>
      <c r="B2" s="5">
        <v>100.0</v>
      </c>
      <c r="C2" s="5">
        <v>341.0</v>
      </c>
      <c r="D2" s="6"/>
      <c r="E2" s="7"/>
      <c r="F2" s="6"/>
      <c r="G2" s="6"/>
      <c r="H2" s="6"/>
      <c r="I2" s="7"/>
      <c r="J2" s="8">
        <f>3.7*2*C2/1000</f>
        <v>2.5234</v>
      </c>
      <c r="K2" s="8">
        <f>3.7*2*G2/1000</f>
        <v>0</v>
      </c>
    </row>
    <row r="3">
      <c r="A3" s="9"/>
      <c r="B3" s="6"/>
      <c r="C3" s="6"/>
      <c r="D3" s="6"/>
      <c r="E3" s="7"/>
      <c r="F3" s="6"/>
      <c r="G3" s="6"/>
      <c r="H3" s="6"/>
      <c r="I3" s="7"/>
      <c r="J3" s="8"/>
      <c r="K3" s="8"/>
    </row>
    <row r="4">
      <c r="A4" s="9"/>
      <c r="B4" s="6"/>
      <c r="C4" s="6"/>
      <c r="D4" s="6"/>
      <c r="E4" s="10"/>
      <c r="F4" s="6"/>
      <c r="G4" s="6"/>
      <c r="H4" s="6"/>
      <c r="I4" s="7"/>
      <c r="J4" s="8"/>
      <c r="K4" s="8"/>
    </row>
    <row r="5">
      <c r="A5" s="9"/>
      <c r="B5" s="6"/>
      <c r="C5" s="6"/>
      <c r="D5" s="6"/>
      <c r="E5" s="7"/>
      <c r="F5" s="6"/>
      <c r="G5" s="6"/>
      <c r="H5" s="6"/>
      <c r="I5" s="7"/>
      <c r="J5" s="8"/>
      <c r="K5" s="8"/>
    </row>
    <row r="6">
      <c r="A6" s="9"/>
      <c r="B6" s="6"/>
      <c r="C6" s="6"/>
      <c r="D6" s="6"/>
      <c r="E6" s="7"/>
      <c r="F6" s="6"/>
      <c r="G6" s="6"/>
      <c r="H6" s="6"/>
      <c r="I6" s="7"/>
    </row>
    <row r="7">
      <c r="A7" s="9"/>
      <c r="B7" s="6"/>
      <c r="C7" s="6"/>
      <c r="D7" s="6"/>
      <c r="E7" s="7"/>
      <c r="F7" s="6"/>
      <c r="G7" s="6"/>
      <c r="H7" s="6"/>
      <c r="I7" s="7"/>
    </row>
    <row r="8">
      <c r="A8" s="9"/>
      <c r="B8" s="6"/>
      <c r="C8" s="6"/>
      <c r="D8" s="6"/>
      <c r="E8" s="7"/>
      <c r="F8" s="6"/>
      <c r="G8" s="6"/>
      <c r="H8" s="6"/>
      <c r="I8" s="7"/>
    </row>
    <row r="9">
      <c r="A9" s="9"/>
      <c r="B9" s="6"/>
      <c r="C9" s="6"/>
      <c r="D9" s="6"/>
      <c r="E9" s="7"/>
      <c r="F9" s="6"/>
      <c r="G9" s="6"/>
      <c r="H9" s="6"/>
      <c r="I9" s="7"/>
    </row>
    <row r="10">
      <c r="A10" s="9"/>
      <c r="B10" s="6"/>
      <c r="C10" s="6"/>
      <c r="D10" s="6"/>
      <c r="E10" s="7"/>
      <c r="F10" s="6"/>
      <c r="G10" s="6"/>
      <c r="H10" s="6"/>
      <c r="I10" s="7"/>
    </row>
    <row r="11">
      <c r="A11" s="9"/>
      <c r="B11" s="6"/>
      <c r="C11" s="6"/>
      <c r="D11" s="6"/>
      <c r="E11" s="7"/>
      <c r="F11" s="6"/>
      <c r="G11" s="6"/>
      <c r="H11" s="6"/>
      <c r="I11" s="7"/>
    </row>
    <row r="12">
      <c r="A12" s="9"/>
      <c r="B12" s="6"/>
      <c r="C12" s="6"/>
      <c r="D12" s="6"/>
      <c r="E12" s="7"/>
      <c r="F12" s="6"/>
      <c r="G12" s="6"/>
      <c r="H12" s="6"/>
      <c r="I12" s="7"/>
    </row>
    <row r="13">
      <c r="A13" s="9"/>
      <c r="B13" s="6"/>
      <c r="C13" s="6"/>
      <c r="D13" s="6"/>
      <c r="E13" s="7"/>
      <c r="F13" s="6"/>
      <c r="G13" s="6"/>
      <c r="H13" s="6"/>
      <c r="I13" s="7"/>
    </row>
    <row r="14">
      <c r="A14" s="9"/>
      <c r="B14" s="6"/>
      <c r="C14" s="6"/>
      <c r="D14" s="6"/>
      <c r="E14" s="7"/>
      <c r="F14" s="6"/>
      <c r="G14" s="6"/>
      <c r="H14" s="6"/>
      <c r="I14" s="7"/>
    </row>
    <row r="15">
      <c r="A15" s="9"/>
      <c r="B15" s="6"/>
      <c r="C15" s="6"/>
      <c r="D15" s="6"/>
      <c r="E15" s="7"/>
      <c r="F15" s="6"/>
      <c r="G15" s="6"/>
      <c r="H15" s="6"/>
      <c r="I15" s="7"/>
    </row>
    <row r="16" ht="15.75" customHeight="1">
      <c r="A16" s="11"/>
    </row>
    <row r="17" ht="15.75" customHeight="1">
      <c r="A17" s="11"/>
    </row>
    <row r="18" ht="15.75" customHeight="1">
      <c r="A18" s="11"/>
    </row>
    <row r="19" ht="15.75" customHeight="1">
      <c r="A19" s="11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</sheetData>
  <printOptions/>
  <pageMargins bottom="0.75" footer="0.0" header="0.0" left="0.5" right="0.5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43"/>
    <col customWidth="1" min="2" max="5" width="9.86"/>
    <col customWidth="1" min="6" max="6" width="6.86"/>
    <col customWidth="1" min="7" max="8" width="7.0"/>
    <col customWidth="1" min="9" max="9" width="8.29"/>
    <col customWidth="1" min="10" max="10" width="9.29"/>
    <col customWidth="1" min="11" max="11" width="7.29"/>
    <col customWidth="1" min="12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2" t="s">
        <v>10</v>
      </c>
    </row>
    <row r="2">
      <c r="A2" s="4">
        <v>46106.0</v>
      </c>
      <c r="B2" s="5">
        <v>100.0</v>
      </c>
      <c r="C2" s="5">
        <v>273.0</v>
      </c>
      <c r="D2" s="6"/>
      <c r="E2" s="7"/>
      <c r="F2" s="6"/>
      <c r="G2" s="6"/>
      <c r="H2" s="6"/>
      <c r="I2" s="7"/>
      <c r="J2" s="8">
        <f>3.7*2*C2/1000</f>
        <v>2.0202</v>
      </c>
      <c r="K2" s="8">
        <f>3.7*2*G2/1000</f>
        <v>0</v>
      </c>
    </row>
    <row r="3">
      <c r="A3" s="9"/>
      <c r="B3" s="6"/>
      <c r="C3" s="6"/>
      <c r="D3" s="6"/>
      <c r="E3" s="7"/>
      <c r="F3" s="6"/>
      <c r="G3" s="6"/>
      <c r="H3" s="6"/>
      <c r="I3" s="7"/>
      <c r="J3" s="8"/>
      <c r="K3" s="8"/>
    </row>
    <row r="4">
      <c r="A4" s="9"/>
      <c r="B4" s="6"/>
      <c r="C4" s="6"/>
      <c r="D4" s="6"/>
      <c r="E4" s="10"/>
      <c r="F4" s="6"/>
      <c r="G4" s="6"/>
      <c r="H4" s="6"/>
      <c r="I4" s="7"/>
      <c r="J4" s="8"/>
      <c r="K4" s="8"/>
    </row>
    <row r="5">
      <c r="A5" s="9"/>
      <c r="B5" s="6"/>
      <c r="C5" s="6"/>
      <c r="D5" s="6"/>
      <c r="E5" s="7"/>
      <c r="F5" s="6"/>
      <c r="G5" s="6"/>
      <c r="H5" s="6"/>
      <c r="I5" s="7"/>
      <c r="J5" s="8"/>
      <c r="K5" s="8"/>
    </row>
    <row r="6">
      <c r="A6" s="9"/>
      <c r="B6" s="6"/>
      <c r="C6" s="6"/>
      <c r="D6" s="6"/>
      <c r="E6" s="7"/>
      <c r="F6" s="6"/>
      <c r="G6" s="6"/>
      <c r="H6" s="6"/>
      <c r="I6" s="7"/>
    </row>
    <row r="7">
      <c r="A7" s="9"/>
      <c r="B7" s="6"/>
      <c r="C7" s="6"/>
      <c r="D7" s="6"/>
      <c r="E7" s="7"/>
      <c r="F7" s="6"/>
      <c r="G7" s="6"/>
      <c r="H7" s="6"/>
      <c r="I7" s="7"/>
    </row>
    <row r="8">
      <c r="A8" s="9"/>
      <c r="B8" s="6"/>
      <c r="C8" s="6"/>
      <c r="D8" s="6"/>
      <c r="E8" s="7"/>
      <c r="F8" s="6"/>
      <c r="G8" s="6"/>
      <c r="H8" s="6"/>
      <c r="I8" s="7"/>
    </row>
    <row r="9">
      <c r="A9" s="9"/>
      <c r="B9" s="6"/>
      <c r="C9" s="6"/>
      <c r="D9" s="6"/>
      <c r="E9" s="7"/>
      <c r="F9" s="6"/>
      <c r="G9" s="6"/>
      <c r="H9" s="6"/>
      <c r="I9" s="7"/>
    </row>
    <row r="10">
      <c r="A10" s="9"/>
      <c r="B10" s="6"/>
      <c r="C10" s="6"/>
      <c r="D10" s="6"/>
      <c r="E10" s="7"/>
      <c r="F10" s="6"/>
      <c r="G10" s="6"/>
      <c r="H10" s="6"/>
      <c r="I10" s="7"/>
    </row>
    <row r="11">
      <c r="A11" s="9"/>
      <c r="B11" s="6"/>
      <c r="C11" s="6"/>
      <c r="D11" s="6"/>
      <c r="E11" s="7"/>
      <c r="F11" s="6"/>
      <c r="G11" s="6"/>
      <c r="H11" s="6"/>
      <c r="I11" s="7"/>
    </row>
    <row r="12">
      <c r="A12" s="9"/>
      <c r="B12" s="6"/>
      <c r="C12" s="6"/>
      <c r="D12" s="6"/>
      <c r="E12" s="7"/>
      <c r="F12" s="6"/>
      <c r="G12" s="6"/>
      <c r="H12" s="6"/>
      <c r="I12" s="7"/>
    </row>
    <row r="13">
      <c r="A13" s="9"/>
      <c r="B13" s="6"/>
      <c r="C13" s="6"/>
      <c r="D13" s="6"/>
      <c r="E13" s="7"/>
      <c r="F13" s="6"/>
      <c r="G13" s="6"/>
      <c r="H13" s="6"/>
      <c r="I13" s="7"/>
    </row>
    <row r="14">
      <c r="A14" s="9"/>
      <c r="B14" s="6"/>
      <c r="C14" s="6"/>
      <c r="D14" s="6"/>
      <c r="E14" s="7"/>
      <c r="F14" s="6"/>
      <c r="G14" s="6"/>
      <c r="H14" s="6"/>
      <c r="I14" s="7"/>
    </row>
    <row r="15">
      <c r="A15" s="9"/>
      <c r="B15" s="6"/>
      <c r="C15" s="6"/>
      <c r="D15" s="6"/>
      <c r="E15" s="7"/>
      <c r="F15" s="6"/>
      <c r="G15" s="6"/>
      <c r="H15" s="6"/>
      <c r="I15" s="7"/>
    </row>
    <row r="16" ht="15.75" customHeight="1">
      <c r="A16" s="11"/>
    </row>
    <row r="17" ht="15.75" customHeight="1">
      <c r="A17" s="11"/>
    </row>
    <row r="18" ht="15.75" customHeight="1">
      <c r="A18" s="11"/>
    </row>
    <row r="19" ht="15.75" customHeight="1">
      <c r="A19" s="11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</sheetData>
  <printOptions/>
  <pageMargins bottom="0.75" footer="0.0" header="0.0" left="0.5" right="0.5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43"/>
    <col customWidth="1" min="2" max="5" width="9.86"/>
    <col customWidth="1" min="6" max="6" width="6.86"/>
    <col customWidth="1" min="7" max="8" width="7.0"/>
    <col customWidth="1" min="9" max="9" width="8.29"/>
    <col customWidth="1" min="10" max="10" width="9.29"/>
    <col customWidth="1" min="11" max="11" width="7.29"/>
    <col customWidth="1" min="12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2" t="s">
        <v>10</v>
      </c>
    </row>
    <row r="2">
      <c r="A2" s="9">
        <v>46115.0</v>
      </c>
      <c r="B2" s="6">
        <v>200.0</v>
      </c>
      <c r="C2" s="6">
        <v>365.0</v>
      </c>
      <c r="D2" s="6">
        <v>107.0</v>
      </c>
      <c r="E2" s="7">
        <v>6.71</v>
      </c>
      <c r="F2" s="6">
        <v>200.0</v>
      </c>
      <c r="G2" s="6">
        <v>526.0</v>
      </c>
      <c r="H2" s="6">
        <v>158.0</v>
      </c>
      <c r="I2" s="7">
        <v>8.17</v>
      </c>
      <c r="J2" s="8">
        <f t="shared" ref="J2:J5" si="1">3.7*2*C2/1000</f>
        <v>2.701</v>
      </c>
      <c r="K2" s="8">
        <f t="shared" ref="K2:K5" si="2">3.7*2*G2/1000</f>
        <v>3.8924</v>
      </c>
    </row>
    <row r="3">
      <c r="A3" s="9">
        <v>46119.0</v>
      </c>
      <c r="B3" s="6">
        <v>100.0</v>
      </c>
      <c r="C3" s="6">
        <v>349.0</v>
      </c>
      <c r="D3" s="6">
        <v>202.0</v>
      </c>
      <c r="E3" s="7">
        <v>6.67</v>
      </c>
      <c r="F3" s="6">
        <v>100.0</v>
      </c>
      <c r="G3" s="6">
        <v>875.0</v>
      </c>
      <c r="H3" s="6">
        <v>512.0</v>
      </c>
      <c r="I3" s="7">
        <v>8.27</v>
      </c>
      <c r="J3" s="8">
        <f t="shared" si="1"/>
        <v>2.5826</v>
      </c>
      <c r="K3" s="8">
        <f t="shared" si="2"/>
        <v>6.475</v>
      </c>
    </row>
    <row r="4">
      <c r="A4" s="9">
        <v>46120.0</v>
      </c>
      <c r="B4" s="6">
        <v>200.0</v>
      </c>
      <c r="C4" s="6">
        <v>418.0</v>
      </c>
      <c r="D4" s="6">
        <v>123.0</v>
      </c>
      <c r="E4" s="10">
        <v>6.7</v>
      </c>
      <c r="F4" s="6">
        <v>200.0</v>
      </c>
      <c r="G4" s="6">
        <v>648.0</v>
      </c>
      <c r="H4" s="6">
        <v>192.0</v>
      </c>
      <c r="I4" s="7">
        <v>8.19</v>
      </c>
      <c r="J4" s="8">
        <f t="shared" si="1"/>
        <v>3.0932</v>
      </c>
      <c r="K4" s="8">
        <f t="shared" si="2"/>
        <v>4.7952</v>
      </c>
    </row>
    <row r="5">
      <c r="A5" s="9">
        <v>46120.0</v>
      </c>
      <c r="B5" s="6">
        <v>200.0</v>
      </c>
      <c r="C5" s="6">
        <v>405.0</v>
      </c>
      <c r="D5" s="6">
        <v>119.0</v>
      </c>
      <c r="E5" s="7">
        <v>6.71</v>
      </c>
      <c r="F5" s="6">
        <v>200.0</v>
      </c>
      <c r="G5" s="6">
        <v>611.0</v>
      </c>
      <c r="H5" s="6">
        <v>181.0</v>
      </c>
      <c r="I5" s="7">
        <v>8.19</v>
      </c>
      <c r="J5" s="8">
        <f t="shared" si="1"/>
        <v>2.997</v>
      </c>
      <c r="K5" s="8">
        <f t="shared" si="2"/>
        <v>4.5214</v>
      </c>
    </row>
    <row r="6">
      <c r="A6" s="9"/>
      <c r="B6" s="6"/>
      <c r="C6" s="6"/>
      <c r="D6" s="6"/>
      <c r="E6" s="7"/>
      <c r="F6" s="6"/>
      <c r="G6" s="6"/>
      <c r="H6" s="6"/>
      <c r="I6" s="7"/>
    </row>
    <row r="7">
      <c r="A7" s="9"/>
      <c r="B7" s="6"/>
      <c r="C7" s="6"/>
      <c r="D7" s="6"/>
      <c r="E7" s="7"/>
      <c r="F7" s="6"/>
      <c r="G7" s="6"/>
      <c r="H7" s="6"/>
      <c r="I7" s="7"/>
    </row>
    <row r="8">
      <c r="A8" s="9"/>
      <c r="B8" s="6"/>
      <c r="C8" s="6"/>
      <c r="D8" s="6"/>
      <c r="E8" s="7"/>
      <c r="F8" s="6"/>
      <c r="G8" s="6"/>
      <c r="H8" s="6"/>
      <c r="I8" s="7"/>
    </row>
    <row r="9">
      <c r="A9" s="9"/>
      <c r="B9" s="6"/>
      <c r="C9" s="6"/>
      <c r="D9" s="6"/>
      <c r="E9" s="7"/>
      <c r="F9" s="6"/>
      <c r="G9" s="6"/>
      <c r="H9" s="6"/>
      <c r="I9" s="7"/>
    </row>
    <row r="10">
      <c r="A10" s="9"/>
      <c r="B10" s="6"/>
      <c r="C10" s="6"/>
      <c r="D10" s="6"/>
      <c r="E10" s="7"/>
      <c r="F10" s="6"/>
      <c r="G10" s="6"/>
      <c r="H10" s="6"/>
      <c r="I10" s="7"/>
    </row>
    <row r="11">
      <c r="A11" s="9"/>
      <c r="B11" s="6"/>
      <c r="C11" s="6"/>
      <c r="D11" s="6"/>
      <c r="E11" s="7"/>
      <c r="F11" s="6"/>
      <c r="G11" s="6"/>
      <c r="H11" s="6"/>
      <c r="I11" s="7"/>
    </row>
    <row r="12">
      <c r="A12" s="9"/>
      <c r="B12" s="6"/>
      <c r="C12" s="6"/>
      <c r="D12" s="6"/>
      <c r="E12" s="7"/>
      <c r="F12" s="6"/>
      <c r="G12" s="6"/>
      <c r="H12" s="6"/>
      <c r="I12" s="7"/>
    </row>
    <row r="13">
      <c r="A13" s="9"/>
      <c r="B13" s="6"/>
      <c r="C13" s="6"/>
      <c r="D13" s="6"/>
      <c r="E13" s="7"/>
      <c r="F13" s="6"/>
      <c r="G13" s="6"/>
      <c r="H13" s="6"/>
      <c r="I13" s="7"/>
    </row>
    <row r="14">
      <c r="A14" s="9"/>
      <c r="B14" s="6"/>
      <c r="C14" s="6"/>
      <c r="D14" s="6"/>
      <c r="E14" s="7"/>
      <c r="F14" s="6"/>
      <c r="G14" s="6"/>
      <c r="H14" s="6"/>
      <c r="I14" s="7"/>
    </row>
    <row r="15">
      <c r="A15" s="9"/>
      <c r="B15" s="6"/>
      <c r="C15" s="6"/>
      <c r="D15" s="6"/>
      <c r="E15" s="7"/>
      <c r="F15" s="6"/>
      <c r="G15" s="6"/>
      <c r="H15" s="6"/>
      <c r="I15" s="7"/>
    </row>
    <row r="16" ht="15.75" customHeight="1">
      <c r="A16" s="11"/>
    </row>
    <row r="17" ht="15.75" customHeight="1">
      <c r="A17" s="11"/>
    </row>
    <row r="18" ht="15.75" customHeight="1">
      <c r="A18" s="11"/>
    </row>
    <row r="19" ht="15.75" customHeight="1">
      <c r="A19" s="11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</sheetData>
  <printOptions/>
  <pageMargins bottom="0.75" footer="0.0" header="0.0" left="0.5" right="0.5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43"/>
    <col customWidth="1" min="2" max="5" width="9.86"/>
    <col customWidth="1" min="6" max="6" width="6.86"/>
    <col customWidth="1" min="7" max="8" width="7.0"/>
    <col customWidth="1" min="9" max="9" width="8.29"/>
    <col customWidth="1" min="10" max="10" width="9.29"/>
    <col customWidth="1" min="11" max="11" width="7.29"/>
    <col customWidth="1" min="12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2" t="s">
        <v>10</v>
      </c>
    </row>
    <row r="2">
      <c r="A2" s="4">
        <v>46122.0</v>
      </c>
      <c r="B2" s="6">
        <v>200.0</v>
      </c>
      <c r="C2" s="5">
        <v>104.0</v>
      </c>
      <c r="D2" s="5">
        <v>31.0</v>
      </c>
      <c r="E2" s="12">
        <v>6.97</v>
      </c>
      <c r="F2" s="6">
        <v>200.0</v>
      </c>
      <c r="G2" s="5">
        <v>228.0</v>
      </c>
      <c r="H2" s="5">
        <v>68.0</v>
      </c>
      <c r="I2" s="12">
        <v>8.03</v>
      </c>
      <c r="J2" s="8">
        <f t="shared" ref="J2:J8" si="1">3.7*2*C2/1000</f>
        <v>0.7696</v>
      </c>
      <c r="K2" s="8">
        <f t="shared" ref="K2:K8" si="2">3.7*2*G2/1000</f>
        <v>1.6872</v>
      </c>
    </row>
    <row r="3">
      <c r="A3" s="4">
        <v>46123.0</v>
      </c>
      <c r="B3" s="5">
        <v>100.0</v>
      </c>
      <c r="C3" s="5">
        <v>135.0</v>
      </c>
      <c r="D3" s="5">
        <v>135.0</v>
      </c>
      <c r="E3" s="12">
        <v>7.21</v>
      </c>
      <c r="F3" s="5">
        <v>100.0</v>
      </c>
      <c r="G3" s="5">
        <v>403.0</v>
      </c>
      <c r="H3" s="5">
        <v>236.0</v>
      </c>
      <c r="I3" s="12">
        <v>8.15</v>
      </c>
      <c r="J3" s="8">
        <f t="shared" si="1"/>
        <v>0.999</v>
      </c>
      <c r="K3" s="8">
        <f t="shared" si="2"/>
        <v>2.9822</v>
      </c>
    </row>
    <row r="4">
      <c r="A4" s="4">
        <v>46123.0</v>
      </c>
      <c r="B4" s="5">
        <v>100.0</v>
      </c>
      <c r="C4" s="5">
        <v>154.0</v>
      </c>
      <c r="D4" s="5">
        <v>89.0</v>
      </c>
      <c r="E4" s="13">
        <v>7.3</v>
      </c>
      <c r="F4" s="5">
        <v>100.0</v>
      </c>
      <c r="G4" s="5">
        <v>450.0</v>
      </c>
      <c r="H4" s="5">
        <v>263.0</v>
      </c>
      <c r="I4" s="12">
        <v>8.21</v>
      </c>
      <c r="J4" s="8">
        <f t="shared" si="1"/>
        <v>1.1396</v>
      </c>
      <c r="K4" s="8">
        <f t="shared" si="2"/>
        <v>3.33</v>
      </c>
    </row>
    <row r="5">
      <c r="A5" s="4">
        <v>46123.0</v>
      </c>
      <c r="B5" s="5">
        <v>200.0</v>
      </c>
      <c r="C5" s="5">
        <v>173.0</v>
      </c>
      <c r="D5" s="5">
        <v>51.0</v>
      </c>
      <c r="E5" s="12">
        <v>6.93</v>
      </c>
      <c r="F5" s="5">
        <v>200.0</v>
      </c>
      <c r="G5" s="5">
        <v>232.0</v>
      </c>
      <c r="H5" s="5">
        <v>69.0</v>
      </c>
      <c r="I5" s="12">
        <v>8.033</v>
      </c>
      <c r="J5" s="8">
        <f t="shared" si="1"/>
        <v>1.2802</v>
      </c>
      <c r="K5" s="8">
        <f t="shared" si="2"/>
        <v>1.7168</v>
      </c>
    </row>
    <row r="6">
      <c r="A6" s="4">
        <v>46123.0</v>
      </c>
      <c r="B6" s="5">
        <v>100.0</v>
      </c>
      <c r="C6" s="5">
        <v>140.0</v>
      </c>
      <c r="D6" s="5">
        <v>81.0</v>
      </c>
      <c r="E6" s="12">
        <v>7.15</v>
      </c>
      <c r="F6" s="5">
        <v>200.0</v>
      </c>
      <c r="G6" s="5">
        <v>258.0</v>
      </c>
      <c r="H6" s="5">
        <v>77.0</v>
      </c>
      <c r="I6" s="12">
        <v>8.04</v>
      </c>
      <c r="J6" s="8">
        <f t="shared" si="1"/>
        <v>1.036</v>
      </c>
      <c r="K6" s="8">
        <f t="shared" si="2"/>
        <v>1.9092</v>
      </c>
    </row>
    <row r="7">
      <c r="A7" s="4">
        <v>46124.0</v>
      </c>
      <c r="B7" s="5">
        <v>200.0</v>
      </c>
      <c r="C7" s="5">
        <v>149.0</v>
      </c>
      <c r="D7" s="5">
        <v>44.0</v>
      </c>
      <c r="E7" s="12">
        <v>7.37</v>
      </c>
      <c r="F7" s="5">
        <v>200.0</v>
      </c>
      <c r="G7" s="5">
        <v>221.0</v>
      </c>
      <c r="H7" s="5">
        <v>65.0</v>
      </c>
      <c r="I7" s="12">
        <v>8.07</v>
      </c>
      <c r="J7" s="8">
        <f t="shared" si="1"/>
        <v>1.1026</v>
      </c>
      <c r="K7" s="8">
        <f t="shared" si="2"/>
        <v>1.6354</v>
      </c>
    </row>
    <row r="8">
      <c r="A8" s="4">
        <v>46124.0</v>
      </c>
      <c r="B8" s="5">
        <v>200.0</v>
      </c>
      <c r="C8" s="5">
        <v>145.0</v>
      </c>
      <c r="D8" s="5">
        <v>43.0</v>
      </c>
      <c r="E8" s="12">
        <v>7.34</v>
      </c>
      <c r="F8" s="5">
        <v>200.0</v>
      </c>
      <c r="G8" s="5">
        <v>232.0</v>
      </c>
      <c r="H8" s="5">
        <v>69.0</v>
      </c>
      <c r="I8" s="12">
        <v>8.06</v>
      </c>
      <c r="J8" s="8">
        <f t="shared" si="1"/>
        <v>1.073</v>
      </c>
      <c r="K8" s="8">
        <f t="shared" si="2"/>
        <v>1.7168</v>
      </c>
    </row>
    <row r="9">
      <c r="A9" s="9"/>
      <c r="B9" s="6"/>
      <c r="C9" s="6"/>
      <c r="D9" s="6"/>
      <c r="E9" s="7"/>
      <c r="F9" s="6"/>
      <c r="G9" s="6"/>
      <c r="H9" s="6"/>
      <c r="I9" s="7"/>
    </row>
    <row r="10">
      <c r="A10" s="9"/>
      <c r="B10" s="6"/>
      <c r="C10" s="6"/>
      <c r="D10" s="6"/>
      <c r="E10" s="7"/>
      <c r="F10" s="6"/>
      <c r="G10" s="6"/>
      <c r="H10" s="6"/>
      <c r="I10" s="7"/>
    </row>
    <row r="11">
      <c r="A11" s="9"/>
      <c r="B11" s="6"/>
      <c r="C11" s="6"/>
      <c r="D11" s="6"/>
      <c r="E11" s="7"/>
      <c r="F11" s="6"/>
      <c r="G11" s="6"/>
      <c r="H11" s="6"/>
      <c r="I11" s="7"/>
    </row>
    <row r="12">
      <c r="A12" s="9"/>
      <c r="B12" s="6"/>
      <c r="C12" s="6"/>
      <c r="D12" s="6"/>
      <c r="E12" s="7"/>
      <c r="F12" s="6"/>
      <c r="G12" s="6"/>
      <c r="H12" s="6"/>
      <c r="I12" s="7"/>
    </row>
    <row r="13">
      <c r="A13" s="9"/>
      <c r="B13" s="6"/>
      <c r="C13" s="6"/>
      <c r="D13" s="6"/>
      <c r="E13" s="7"/>
      <c r="F13" s="6"/>
      <c r="G13" s="6"/>
      <c r="H13" s="6"/>
      <c r="I13" s="7"/>
    </row>
    <row r="14">
      <c r="A14" s="9"/>
      <c r="B14" s="6"/>
      <c r="C14" s="6"/>
      <c r="D14" s="6"/>
      <c r="E14" s="7"/>
      <c r="F14" s="6"/>
      <c r="G14" s="6"/>
      <c r="H14" s="6"/>
      <c r="I14" s="7"/>
    </row>
    <row r="15">
      <c r="A15" s="9"/>
      <c r="B15" s="6"/>
      <c r="C15" s="6"/>
      <c r="D15" s="6"/>
      <c r="E15" s="7"/>
      <c r="F15" s="6"/>
      <c r="G15" s="6"/>
      <c r="H15" s="6"/>
      <c r="I15" s="7"/>
    </row>
    <row r="16" ht="15.75" customHeight="1">
      <c r="A16" s="11"/>
    </row>
    <row r="17" ht="15.75" customHeight="1">
      <c r="A17" s="11"/>
    </row>
    <row r="18" ht="15.75" customHeight="1">
      <c r="A18" s="11"/>
    </row>
    <row r="19" ht="15.75" customHeight="1">
      <c r="A19" s="11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</sheetData>
  <printOptions/>
  <pageMargins bottom="0.75" footer="0.0" header="0.0" left="0.25" right="0.25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43"/>
    <col customWidth="1" min="2" max="5" width="9.86"/>
    <col customWidth="1" min="6" max="6" width="6.86"/>
    <col customWidth="1" min="7" max="8" width="7.0"/>
    <col customWidth="1" min="9" max="9" width="8.29"/>
    <col customWidth="1" min="10" max="10" width="9.29"/>
    <col customWidth="1" min="11" max="11" width="7.29"/>
    <col customWidth="1" min="12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2" t="s">
        <v>10</v>
      </c>
    </row>
    <row r="2">
      <c r="A2" s="4">
        <v>46125.0</v>
      </c>
      <c r="B2" s="5">
        <v>100.0</v>
      </c>
      <c r="C2" s="5">
        <v>15.0</v>
      </c>
      <c r="D2" s="5">
        <v>9.0</v>
      </c>
      <c r="E2" s="12">
        <v>7.64</v>
      </c>
      <c r="F2" s="5">
        <v>100.0</v>
      </c>
      <c r="G2" s="5">
        <v>24.0</v>
      </c>
      <c r="H2" s="5">
        <v>14.0</v>
      </c>
      <c r="I2" s="12">
        <v>8.01</v>
      </c>
      <c r="J2" s="8">
        <f t="shared" ref="J2:J7" si="1">3.7*2*C2/1000</f>
        <v>0.111</v>
      </c>
      <c r="K2" s="8">
        <f t="shared" ref="K2:K7" si="2">3.7*2*G2/1000</f>
        <v>0.1776</v>
      </c>
    </row>
    <row r="3">
      <c r="A3" s="4">
        <v>46125.0</v>
      </c>
      <c r="B3" s="5">
        <v>100.0</v>
      </c>
      <c r="C3" s="5">
        <v>17.0</v>
      </c>
      <c r="D3" s="5">
        <v>10.0</v>
      </c>
      <c r="E3" s="12">
        <v>7.54</v>
      </c>
      <c r="F3" s="5">
        <v>100.0</v>
      </c>
      <c r="G3" s="5">
        <v>38.0</v>
      </c>
      <c r="H3" s="5">
        <v>22.0</v>
      </c>
      <c r="I3" s="12">
        <v>8.08</v>
      </c>
      <c r="J3" s="8">
        <f t="shared" si="1"/>
        <v>0.1258</v>
      </c>
      <c r="K3" s="8">
        <f t="shared" si="2"/>
        <v>0.2812</v>
      </c>
    </row>
    <row r="4">
      <c r="A4" s="4">
        <v>46125.0</v>
      </c>
      <c r="B4" s="5">
        <v>100.0</v>
      </c>
      <c r="C4" s="5">
        <v>18.0</v>
      </c>
      <c r="D4" s="5">
        <v>11.0</v>
      </c>
      <c r="E4" s="13">
        <v>7.53</v>
      </c>
      <c r="F4" s="5">
        <v>100.0</v>
      </c>
      <c r="G4" s="5">
        <v>41.0</v>
      </c>
      <c r="H4" s="5">
        <v>24.0</v>
      </c>
      <c r="I4" s="12">
        <v>8.09</v>
      </c>
      <c r="J4" s="8">
        <f t="shared" si="1"/>
        <v>0.1332</v>
      </c>
      <c r="K4" s="8">
        <f t="shared" si="2"/>
        <v>0.3034</v>
      </c>
    </row>
    <row r="5">
      <c r="A5" s="4">
        <v>46125.0</v>
      </c>
      <c r="B5" s="5">
        <v>100.0</v>
      </c>
      <c r="C5" s="5">
        <v>17.0</v>
      </c>
      <c r="D5" s="5">
        <v>11.0</v>
      </c>
      <c r="E5" s="12">
        <v>7.52</v>
      </c>
      <c r="F5" s="5">
        <v>100.0</v>
      </c>
      <c r="G5" s="5">
        <v>45.0</v>
      </c>
      <c r="H5" s="5">
        <v>27.0</v>
      </c>
      <c r="I5" s="12">
        <v>8.06</v>
      </c>
      <c r="J5" s="8">
        <f t="shared" si="1"/>
        <v>0.1258</v>
      </c>
      <c r="K5" s="8">
        <f t="shared" si="2"/>
        <v>0.333</v>
      </c>
    </row>
    <row r="6">
      <c r="A6" s="4">
        <v>46125.0</v>
      </c>
      <c r="B6" s="5">
        <v>100.0</v>
      </c>
      <c r="C6" s="5">
        <v>17.0</v>
      </c>
      <c r="D6" s="5">
        <v>10.0</v>
      </c>
      <c r="E6" s="12">
        <v>7.58</v>
      </c>
      <c r="F6" s="5">
        <v>100.0</v>
      </c>
      <c r="G6" s="5">
        <v>40.0</v>
      </c>
      <c r="H6" s="5">
        <v>24.0</v>
      </c>
      <c r="I6" s="12">
        <v>8.02</v>
      </c>
      <c r="J6" s="8">
        <f t="shared" si="1"/>
        <v>0.1258</v>
      </c>
      <c r="K6" s="8">
        <f t="shared" si="2"/>
        <v>0.296</v>
      </c>
    </row>
    <row r="7">
      <c r="A7" s="4">
        <v>46126.0</v>
      </c>
      <c r="B7" s="5">
        <v>100.0</v>
      </c>
      <c r="C7" s="5">
        <v>15.0</v>
      </c>
      <c r="D7" s="5">
        <v>9.0</v>
      </c>
      <c r="E7" s="12">
        <v>7.62</v>
      </c>
      <c r="F7" s="5">
        <v>100.0</v>
      </c>
      <c r="G7" s="5">
        <v>33.0</v>
      </c>
      <c r="H7" s="5">
        <v>20.0</v>
      </c>
      <c r="I7" s="12">
        <v>8.04</v>
      </c>
      <c r="J7" s="8">
        <f t="shared" si="1"/>
        <v>0.111</v>
      </c>
      <c r="K7" s="8">
        <f t="shared" si="2"/>
        <v>0.2442</v>
      </c>
    </row>
    <row r="8">
      <c r="A8" s="4"/>
      <c r="B8" s="5"/>
      <c r="C8" s="5"/>
      <c r="D8" s="5"/>
      <c r="E8" s="12"/>
      <c r="F8" s="5"/>
      <c r="G8" s="5"/>
      <c r="H8" s="5"/>
      <c r="I8" s="12"/>
      <c r="J8" s="8"/>
      <c r="K8" s="8"/>
    </row>
    <row r="9">
      <c r="A9" s="9"/>
      <c r="B9" s="6"/>
      <c r="C9" s="6"/>
      <c r="D9" s="6"/>
      <c r="E9" s="7"/>
      <c r="F9" s="6"/>
      <c r="G9" s="6"/>
      <c r="H9" s="6"/>
      <c r="I9" s="7"/>
    </row>
    <row r="10">
      <c r="A10" s="9"/>
      <c r="B10" s="6"/>
      <c r="C10" s="6"/>
      <c r="D10" s="6"/>
      <c r="E10" s="7"/>
      <c r="F10" s="6"/>
      <c r="G10" s="6"/>
      <c r="H10" s="6"/>
      <c r="I10" s="7"/>
    </row>
    <row r="11">
      <c r="A11" s="9"/>
      <c r="B11" s="6"/>
      <c r="C11" s="6"/>
      <c r="D11" s="6"/>
      <c r="E11" s="7"/>
      <c r="F11" s="6"/>
      <c r="G11" s="6"/>
      <c r="H11" s="6"/>
      <c r="I11" s="7"/>
    </row>
    <row r="12">
      <c r="A12" s="9"/>
      <c r="B12" s="6"/>
      <c r="C12" s="6"/>
      <c r="D12" s="6"/>
      <c r="E12" s="7"/>
      <c r="F12" s="6"/>
      <c r="G12" s="6"/>
      <c r="H12" s="6"/>
      <c r="I12" s="7"/>
    </row>
    <row r="13">
      <c r="A13" s="9"/>
      <c r="B13" s="6"/>
      <c r="C13" s="6"/>
      <c r="D13" s="6"/>
      <c r="E13" s="7"/>
      <c r="F13" s="6"/>
      <c r="G13" s="6"/>
      <c r="H13" s="6"/>
      <c r="I13" s="7"/>
    </row>
    <row r="14">
      <c r="A14" s="9"/>
      <c r="B14" s="6"/>
      <c r="C14" s="6"/>
      <c r="D14" s="6"/>
      <c r="E14" s="7"/>
      <c r="F14" s="6"/>
      <c r="G14" s="6"/>
      <c r="H14" s="6"/>
      <c r="I14" s="7"/>
    </row>
    <row r="15">
      <c r="A15" s="9"/>
      <c r="B15" s="6"/>
      <c r="C15" s="6"/>
      <c r="D15" s="6"/>
      <c r="E15" s="7"/>
      <c r="F15" s="6"/>
      <c r="G15" s="6"/>
      <c r="H15" s="6"/>
      <c r="I15" s="7"/>
    </row>
    <row r="16" ht="15.75" customHeight="1">
      <c r="A16" s="11"/>
    </row>
    <row r="17" ht="15.75" customHeight="1">
      <c r="A17" s="11"/>
    </row>
    <row r="18" ht="15.75" customHeight="1">
      <c r="A18" s="11"/>
    </row>
    <row r="19" ht="15.75" customHeight="1">
      <c r="A19" s="11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</sheetData>
  <printOptions/>
  <pageMargins bottom="0.75" footer="0.0" header="0.0" left="0.25" right="0.25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43"/>
    <col customWidth="1" min="2" max="5" width="9.86"/>
    <col customWidth="1" min="6" max="6" width="6.86"/>
    <col customWidth="1" min="7" max="8" width="7.0"/>
    <col customWidth="1" min="9" max="9" width="8.29"/>
    <col customWidth="1" min="10" max="10" width="9.29"/>
    <col customWidth="1" min="11" max="11" width="7.29"/>
    <col customWidth="1" min="12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2" t="s">
        <v>10</v>
      </c>
    </row>
    <row r="2">
      <c r="A2" s="4">
        <v>46126.0</v>
      </c>
      <c r="B2" s="5">
        <v>100.0</v>
      </c>
      <c r="C2" s="5">
        <v>87.0</v>
      </c>
      <c r="D2" s="5">
        <v>51.0</v>
      </c>
      <c r="E2" s="12">
        <v>7.55</v>
      </c>
      <c r="F2" s="5">
        <v>100.0</v>
      </c>
      <c r="G2" s="5">
        <v>252.0</v>
      </c>
      <c r="H2" s="5">
        <v>148.0</v>
      </c>
      <c r="I2" s="12">
        <v>8.08</v>
      </c>
      <c r="J2" s="8">
        <f t="shared" ref="J2:J6" si="1">3.7*2*C2/1000</f>
        <v>0.6438</v>
      </c>
      <c r="K2" s="8">
        <f t="shared" ref="K2:K6" si="2">3.7*2*G2/1000</f>
        <v>1.8648</v>
      </c>
    </row>
    <row r="3">
      <c r="A3" s="4">
        <v>46126.0</v>
      </c>
      <c r="B3" s="5">
        <v>100.0</v>
      </c>
      <c r="C3" s="5">
        <v>108.0</v>
      </c>
      <c r="D3" s="5">
        <v>63.0</v>
      </c>
      <c r="E3" s="12">
        <v>7.53</v>
      </c>
      <c r="F3" s="5">
        <v>100.0</v>
      </c>
      <c r="G3" s="5">
        <v>314.0</v>
      </c>
      <c r="H3" s="5">
        <v>184.0</v>
      </c>
      <c r="I3" s="12">
        <v>8.14</v>
      </c>
      <c r="J3" s="8">
        <f t="shared" si="1"/>
        <v>0.7992</v>
      </c>
      <c r="K3" s="8">
        <f t="shared" si="2"/>
        <v>2.3236</v>
      </c>
    </row>
    <row r="4">
      <c r="A4" s="4">
        <v>46128.0</v>
      </c>
      <c r="B4" s="5">
        <v>100.0</v>
      </c>
      <c r="C4" s="5">
        <v>111.0</v>
      </c>
      <c r="D4" s="5">
        <v>65.0</v>
      </c>
      <c r="E4" s="13">
        <v>7.33</v>
      </c>
      <c r="F4" s="5">
        <v>100.0</v>
      </c>
      <c r="G4" s="5">
        <v>282.0</v>
      </c>
      <c r="H4" s="5">
        <v>165.0</v>
      </c>
      <c r="I4" s="12">
        <v>8.21</v>
      </c>
      <c r="J4" s="8">
        <f t="shared" si="1"/>
        <v>0.8214</v>
      </c>
      <c r="K4" s="8">
        <f t="shared" si="2"/>
        <v>2.0868</v>
      </c>
    </row>
    <row r="5">
      <c r="A5" s="4">
        <v>46128.0</v>
      </c>
      <c r="B5" s="5">
        <v>200.0</v>
      </c>
      <c r="C5" s="5">
        <v>126.0</v>
      </c>
      <c r="D5" s="5">
        <v>37.0</v>
      </c>
      <c r="E5" s="12">
        <v>7.57</v>
      </c>
      <c r="F5" s="5">
        <v>200.0</v>
      </c>
      <c r="G5" s="5">
        <v>209.0</v>
      </c>
      <c r="H5" s="5">
        <v>84.0</v>
      </c>
      <c r="I5" s="12">
        <v>8.15</v>
      </c>
      <c r="J5" s="8">
        <f t="shared" si="1"/>
        <v>0.9324</v>
      </c>
      <c r="K5" s="8">
        <f t="shared" si="2"/>
        <v>1.5466</v>
      </c>
    </row>
    <row r="6">
      <c r="A6" s="4">
        <v>46128.0</v>
      </c>
      <c r="B6" s="5">
        <v>100.0</v>
      </c>
      <c r="C6" s="5">
        <v>115.0</v>
      </c>
      <c r="D6" s="5">
        <v>67.0</v>
      </c>
      <c r="E6" s="12">
        <v>7.29</v>
      </c>
      <c r="F6" s="5">
        <v>100.0</v>
      </c>
      <c r="G6" s="5">
        <v>300.0</v>
      </c>
      <c r="H6" s="5">
        <v>176.0</v>
      </c>
      <c r="I6" s="12">
        <v>8.21</v>
      </c>
      <c r="J6" s="8">
        <f t="shared" si="1"/>
        <v>0.851</v>
      </c>
      <c r="K6" s="8">
        <f t="shared" si="2"/>
        <v>2.22</v>
      </c>
    </row>
    <row r="7">
      <c r="A7" s="4"/>
      <c r="B7" s="5"/>
      <c r="C7" s="5"/>
      <c r="D7" s="5"/>
      <c r="E7" s="12"/>
      <c r="F7" s="5"/>
      <c r="G7" s="5"/>
      <c r="H7" s="5"/>
      <c r="I7" s="12"/>
      <c r="J7" s="8"/>
      <c r="K7" s="8"/>
    </row>
    <row r="8">
      <c r="A8" s="4"/>
      <c r="B8" s="5"/>
      <c r="C8" s="5"/>
      <c r="D8" s="5"/>
      <c r="E8" s="12"/>
      <c r="F8" s="5"/>
      <c r="G8" s="5"/>
      <c r="H8" s="5"/>
      <c r="I8" s="12"/>
      <c r="J8" s="8"/>
      <c r="K8" s="8"/>
    </row>
    <row r="9">
      <c r="A9" s="9"/>
      <c r="B9" s="6"/>
      <c r="C9" s="6"/>
      <c r="D9" s="6"/>
      <c r="E9" s="7"/>
      <c r="F9" s="6"/>
      <c r="G9" s="6"/>
      <c r="H9" s="6"/>
      <c r="I9" s="7"/>
    </row>
    <row r="10">
      <c r="A10" s="9"/>
      <c r="B10" s="6"/>
      <c r="C10" s="6"/>
      <c r="D10" s="6"/>
      <c r="E10" s="7"/>
      <c r="F10" s="6"/>
      <c r="G10" s="6"/>
      <c r="H10" s="6"/>
      <c r="I10" s="7"/>
    </row>
    <row r="11">
      <c r="A11" s="9"/>
      <c r="B11" s="6"/>
      <c r="C11" s="6"/>
      <c r="D11" s="6"/>
      <c r="E11" s="7"/>
      <c r="F11" s="6"/>
      <c r="G11" s="6"/>
      <c r="H11" s="6"/>
      <c r="I11" s="7"/>
    </row>
    <row r="12">
      <c r="A12" s="9"/>
      <c r="B12" s="6"/>
      <c r="C12" s="6"/>
      <c r="D12" s="6"/>
      <c r="E12" s="7"/>
      <c r="F12" s="6"/>
      <c r="G12" s="6"/>
      <c r="H12" s="6"/>
      <c r="I12" s="7"/>
    </row>
    <row r="13">
      <c r="A13" s="9"/>
      <c r="B13" s="6"/>
      <c r="C13" s="6"/>
      <c r="D13" s="6"/>
      <c r="E13" s="7"/>
      <c r="F13" s="6"/>
      <c r="G13" s="6"/>
      <c r="H13" s="6"/>
      <c r="I13" s="7"/>
    </row>
    <row r="14">
      <c r="A14" s="9"/>
      <c r="B14" s="6"/>
      <c r="C14" s="6"/>
      <c r="D14" s="6"/>
      <c r="E14" s="7"/>
      <c r="F14" s="6"/>
      <c r="G14" s="6"/>
      <c r="H14" s="6"/>
      <c r="I14" s="7"/>
    </row>
    <row r="15">
      <c r="A15" s="9"/>
      <c r="B15" s="6"/>
      <c r="C15" s="6"/>
      <c r="D15" s="6"/>
      <c r="E15" s="7"/>
      <c r="F15" s="6"/>
      <c r="G15" s="6"/>
      <c r="H15" s="6"/>
      <c r="I15" s="7"/>
    </row>
    <row r="16" ht="15.75" customHeight="1">
      <c r="A16" s="11"/>
    </row>
    <row r="17" ht="15.75" customHeight="1">
      <c r="A17" s="11"/>
    </row>
    <row r="18" ht="15.75" customHeight="1">
      <c r="A18" s="11"/>
    </row>
    <row r="19" ht="15.75" customHeight="1">
      <c r="A19" s="11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</sheetData>
  <printOptions/>
  <pageMargins bottom="0.75" footer="0.0" header="0.0" left="0.25" right="0.25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43"/>
    <col customWidth="1" min="2" max="5" width="9.86"/>
    <col customWidth="1" min="6" max="6" width="6.86"/>
    <col customWidth="1" min="7" max="8" width="7.0"/>
    <col customWidth="1" min="9" max="9" width="8.29"/>
    <col customWidth="1" min="10" max="10" width="9.29"/>
    <col customWidth="1" min="11" max="11" width="7.29"/>
    <col customWidth="1" min="12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2" t="s">
        <v>10</v>
      </c>
    </row>
    <row r="2">
      <c r="A2" s="4">
        <v>46129.0</v>
      </c>
      <c r="B2" s="5">
        <v>100.0</v>
      </c>
      <c r="C2" s="5">
        <v>75.0</v>
      </c>
      <c r="D2" s="5">
        <v>43.0</v>
      </c>
      <c r="E2" s="12">
        <v>7.05</v>
      </c>
      <c r="F2" s="5">
        <v>100.0</v>
      </c>
      <c r="G2" s="5">
        <v>351.0</v>
      </c>
      <c r="H2" s="5">
        <v>206.0</v>
      </c>
      <c r="I2" s="13">
        <v>8.13</v>
      </c>
      <c r="J2" s="8">
        <f t="shared" ref="J2:J6" si="1">3.7*2*C2/1000</f>
        <v>0.555</v>
      </c>
      <c r="K2" s="8">
        <f t="shared" ref="K2:K6" si="2">3.7*2*G2/1000</f>
        <v>2.5974</v>
      </c>
    </row>
    <row r="3">
      <c r="A3" s="4">
        <v>46130.0</v>
      </c>
      <c r="B3" s="5">
        <v>100.0</v>
      </c>
      <c r="C3" s="5">
        <v>157.0</v>
      </c>
      <c r="D3" s="5">
        <v>91.0</v>
      </c>
      <c r="E3" s="12">
        <v>7.23</v>
      </c>
      <c r="F3" s="5">
        <v>100.0</v>
      </c>
      <c r="G3" s="5">
        <v>329.0</v>
      </c>
      <c r="H3" s="5">
        <v>193.0</v>
      </c>
      <c r="I3" s="13">
        <v>8.1</v>
      </c>
      <c r="J3" s="8">
        <f t="shared" si="1"/>
        <v>1.1618</v>
      </c>
      <c r="K3" s="8">
        <f t="shared" si="2"/>
        <v>2.4346</v>
      </c>
    </row>
    <row r="4">
      <c r="A4" s="4">
        <v>46131.0</v>
      </c>
      <c r="B4" s="5">
        <v>100.0</v>
      </c>
      <c r="C4" s="5">
        <v>149.0</v>
      </c>
      <c r="D4" s="5">
        <v>87.0</v>
      </c>
      <c r="E4" s="13">
        <v>7.3</v>
      </c>
      <c r="F4" s="5">
        <v>100.0</v>
      </c>
      <c r="G4" s="5"/>
      <c r="H4" s="5"/>
      <c r="I4" s="13"/>
      <c r="J4" s="8">
        <f t="shared" si="1"/>
        <v>1.1026</v>
      </c>
      <c r="K4" s="8">
        <f t="shared" si="2"/>
        <v>0</v>
      </c>
    </row>
    <row r="5">
      <c r="A5" s="4">
        <v>46131.0</v>
      </c>
      <c r="B5" s="5"/>
      <c r="C5" s="5"/>
      <c r="D5" s="5"/>
      <c r="E5" s="12"/>
      <c r="F5" s="5"/>
      <c r="G5" s="5"/>
      <c r="H5" s="5"/>
      <c r="I5" s="13"/>
      <c r="J5" s="8">
        <f t="shared" si="1"/>
        <v>0</v>
      </c>
      <c r="K5" s="8">
        <f t="shared" si="2"/>
        <v>0</v>
      </c>
    </row>
    <row r="6">
      <c r="A6" s="4">
        <v>46131.0</v>
      </c>
      <c r="B6" s="5"/>
      <c r="C6" s="5"/>
      <c r="D6" s="5"/>
      <c r="E6" s="12"/>
      <c r="F6" s="5"/>
      <c r="G6" s="5"/>
      <c r="H6" s="5"/>
      <c r="I6" s="13"/>
      <c r="J6" s="8">
        <f t="shared" si="1"/>
        <v>0</v>
      </c>
      <c r="K6" s="8">
        <f t="shared" si="2"/>
        <v>0</v>
      </c>
    </row>
    <row r="7">
      <c r="A7" s="4"/>
      <c r="B7" s="5"/>
      <c r="C7" s="5"/>
      <c r="D7" s="5"/>
      <c r="E7" s="12"/>
      <c r="F7" s="5"/>
      <c r="G7" s="5"/>
      <c r="H7" s="5"/>
      <c r="I7" s="13"/>
      <c r="J7" s="8"/>
      <c r="K7" s="8"/>
    </row>
    <row r="8">
      <c r="A8" s="4"/>
      <c r="B8" s="5"/>
      <c r="C8" s="5"/>
      <c r="D8" s="5"/>
      <c r="E8" s="12"/>
      <c r="F8" s="5"/>
      <c r="G8" s="5"/>
      <c r="H8" s="5"/>
      <c r="I8" s="13"/>
      <c r="J8" s="8"/>
      <c r="K8" s="8"/>
    </row>
    <row r="9">
      <c r="A9" s="9"/>
      <c r="B9" s="6"/>
      <c r="C9" s="6"/>
      <c r="D9" s="6"/>
      <c r="E9" s="7"/>
      <c r="F9" s="6"/>
      <c r="G9" s="6"/>
      <c r="H9" s="6"/>
      <c r="I9" s="10"/>
    </row>
    <row r="10">
      <c r="A10" s="9"/>
      <c r="B10" s="6"/>
      <c r="C10" s="6"/>
      <c r="D10" s="6"/>
      <c r="E10" s="7"/>
      <c r="F10" s="6"/>
      <c r="G10" s="6"/>
      <c r="H10" s="6"/>
      <c r="I10" s="10"/>
    </row>
    <row r="11">
      <c r="A11" s="9"/>
      <c r="B11" s="6"/>
      <c r="C11" s="6"/>
      <c r="D11" s="6"/>
      <c r="E11" s="7"/>
      <c r="F11" s="6"/>
      <c r="G11" s="6"/>
      <c r="H11" s="6"/>
      <c r="I11" s="7"/>
    </row>
    <row r="12">
      <c r="A12" s="9"/>
      <c r="B12" s="6"/>
      <c r="C12" s="6"/>
      <c r="D12" s="6"/>
      <c r="E12" s="7"/>
      <c r="F12" s="6"/>
      <c r="G12" s="6"/>
      <c r="H12" s="6"/>
      <c r="I12" s="7"/>
    </row>
    <row r="13">
      <c r="A13" s="9"/>
      <c r="B13" s="6"/>
      <c r="C13" s="6"/>
      <c r="D13" s="6"/>
      <c r="E13" s="7"/>
      <c r="F13" s="6"/>
      <c r="G13" s="6"/>
      <c r="H13" s="6"/>
      <c r="I13" s="7"/>
    </row>
    <row r="14">
      <c r="A14" s="9"/>
      <c r="B14" s="6"/>
      <c r="C14" s="6"/>
      <c r="D14" s="6"/>
      <c r="E14" s="7"/>
      <c r="F14" s="6"/>
      <c r="G14" s="6"/>
      <c r="H14" s="6"/>
      <c r="I14" s="7"/>
    </row>
    <row r="15">
      <c r="A15" s="9"/>
      <c r="B15" s="6"/>
      <c r="C15" s="6"/>
      <c r="D15" s="6"/>
      <c r="E15" s="7"/>
      <c r="F15" s="6"/>
      <c r="G15" s="6"/>
      <c r="H15" s="6"/>
      <c r="I15" s="7"/>
    </row>
    <row r="16" ht="15.75" customHeight="1">
      <c r="A16" s="11"/>
    </row>
    <row r="17" ht="15.75" customHeight="1">
      <c r="A17" s="11"/>
    </row>
    <row r="18" ht="15.75" customHeight="1">
      <c r="A18" s="11"/>
    </row>
    <row r="19" ht="15.75" customHeight="1">
      <c r="A19" s="11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</sheetData>
  <printOptions/>
  <pageMargins bottom="0.75" footer="0.0" header="0.0" left="0.25" right="0.25" top="0.7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0.86"/>
    <col customWidth="1" min="2" max="2" width="3.71"/>
    <col customWidth="1" min="3" max="3" width="12.14"/>
    <col customWidth="1" min="4" max="4" width="7.43"/>
    <col customWidth="1" min="5" max="5" width="8.43"/>
    <col customWidth="1" min="6" max="6" width="11.43"/>
  </cols>
  <sheetData>
    <row r="1">
      <c r="A1" s="14" t="s">
        <v>0</v>
      </c>
      <c r="B1" s="15" t="s">
        <v>11</v>
      </c>
      <c r="C1" s="15" t="s">
        <v>12</v>
      </c>
      <c r="D1" s="15" t="s">
        <v>13</v>
      </c>
      <c r="E1" s="15" t="s">
        <v>14</v>
      </c>
      <c r="F1" s="15" t="s">
        <v>7</v>
      </c>
      <c r="G1" s="16"/>
    </row>
    <row r="2">
      <c r="A2" s="17">
        <v>46125.0</v>
      </c>
      <c r="B2" s="18">
        <v>1.0</v>
      </c>
      <c r="C2" s="18">
        <v>13249.0</v>
      </c>
      <c r="D2" s="19">
        <f t="shared" ref="D2:D3" si="1">C2/4</f>
        <v>3312.25</v>
      </c>
      <c r="E2" s="18" t="s">
        <v>15</v>
      </c>
      <c r="F2" s="18">
        <v>150.0</v>
      </c>
    </row>
    <row r="3">
      <c r="A3" s="17">
        <v>46126.0</v>
      </c>
      <c r="B3" s="18">
        <v>2.0</v>
      </c>
      <c r="C3" s="18">
        <v>10148.0</v>
      </c>
      <c r="D3" s="19">
        <f t="shared" si="1"/>
        <v>2537</v>
      </c>
      <c r="E3" s="18" t="s">
        <v>15</v>
      </c>
      <c r="F3" s="18">
        <v>120.0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43"/>
    <col customWidth="1" min="2" max="2" width="13.57"/>
    <col customWidth="1" min="3" max="4" width="7.29"/>
    <col customWidth="1" min="5" max="5" width="8.57"/>
    <col customWidth="1" min="6" max="6" width="10.86"/>
    <col customWidth="1" min="7" max="8" width="7.0"/>
    <col customWidth="1" min="9" max="9" width="8.29"/>
    <col customWidth="1" min="10" max="10" width="6.14"/>
    <col customWidth="1" min="11" max="11" width="5.86"/>
    <col customWidth="1" min="12" max="26" width="8.71"/>
  </cols>
  <sheetData>
    <row r="1">
      <c r="A1" s="20" t="s">
        <v>0</v>
      </c>
      <c r="B1" s="21" t="s">
        <v>16</v>
      </c>
      <c r="C1" s="21" t="s">
        <v>17</v>
      </c>
      <c r="D1" s="21" t="s">
        <v>18</v>
      </c>
      <c r="E1" s="20" t="s">
        <v>19</v>
      </c>
      <c r="F1" s="21" t="s">
        <v>20</v>
      </c>
      <c r="G1" s="21" t="s">
        <v>21</v>
      </c>
      <c r="H1" s="21" t="s">
        <v>22</v>
      </c>
      <c r="I1" s="20" t="s">
        <v>23</v>
      </c>
      <c r="J1" s="21" t="s">
        <v>24</v>
      </c>
      <c r="K1" s="21" t="s">
        <v>25</v>
      </c>
    </row>
    <row r="2">
      <c r="A2" s="9">
        <v>46115.0</v>
      </c>
      <c r="E2" s="20"/>
      <c r="F2" s="21">
        <v>355.0</v>
      </c>
      <c r="G2" s="21">
        <v>1121.0</v>
      </c>
      <c r="H2" s="22">
        <f t="shared" ref="H2:H3" si="1">G2/F2*60</f>
        <v>189.4647887</v>
      </c>
      <c r="I2" s="20">
        <v>9.13</v>
      </c>
      <c r="J2" s="8"/>
      <c r="K2" s="8">
        <v>5.7</v>
      </c>
    </row>
    <row r="3">
      <c r="A3" s="9">
        <v>46115.0</v>
      </c>
      <c r="B3" s="21">
        <v>200.0</v>
      </c>
      <c r="C3" s="21">
        <v>351.0</v>
      </c>
      <c r="D3" s="21">
        <v>103.0</v>
      </c>
      <c r="E3" s="20">
        <v>9.02</v>
      </c>
      <c r="F3" s="23">
        <v>355.0</v>
      </c>
      <c r="G3" s="23">
        <v>1101.0</v>
      </c>
      <c r="H3" s="22">
        <f t="shared" si="1"/>
        <v>186.084507</v>
      </c>
      <c r="I3" s="20">
        <v>9.12</v>
      </c>
      <c r="J3" s="8">
        <f>9*C3/1000</f>
        <v>3.159</v>
      </c>
      <c r="K3" s="23">
        <v>5.6</v>
      </c>
    </row>
    <row r="4">
      <c r="A4" s="9"/>
      <c r="E4" s="20"/>
      <c r="I4" s="20"/>
    </row>
    <row r="5">
      <c r="A5" s="9"/>
      <c r="E5" s="20"/>
      <c r="I5" s="20"/>
    </row>
    <row r="6">
      <c r="A6" s="9"/>
      <c r="E6" s="20"/>
      <c r="I6" s="20"/>
    </row>
    <row r="7">
      <c r="A7" s="9"/>
      <c r="E7" s="20"/>
      <c r="I7" s="20"/>
    </row>
    <row r="8">
      <c r="A8" s="9"/>
      <c r="E8" s="20"/>
      <c r="I8" s="20"/>
    </row>
    <row r="9">
      <c r="A9" s="20"/>
      <c r="E9" s="20"/>
      <c r="I9" s="20"/>
    </row>
    <row r="10">
      <c r="A10" s="20"/>
      <c r="E10" s="20"/>
      <c r="I10" s="20"/>
    </row>
    <row r="11">
      <c r="A11" s="20"/>
      <c r="E11" s="20"/>
      <c r="I11" s="20"/>
    </row>
    <row r="12">
      <c r="A12" s="20"/>
      <c r="E12" s="20"/>
      <c r="I12" s="20"/>
    </row>
    <row r="13">
      <c r="A13" s="20"/>
      <c r="E13" s="20"/>
      <c r="I13" s="20"/>
    </row>
    <row r="14">
      <c r="A14" s="20"/>
      <c r="E14" s="20"/>
      <c r="I14" s="20"/>
    </row>
    <row r="15">
      <c r="A15" s="20"/>
      <c r="E15" s="20"/>
      <c r="I15" s="20"/>
    </row>
    <row r="16">
      <c r="A16" s="20"/>
      <c r="E16" s="20"/>
      <c r="I16" s="20"/>
    </row>
    <row r="17">
      <c r="A17" s="20"/>
      <c r="E17" s="20"/>
      <c r="I17" s="20"/>
    </row>
    <row r="18">
      <c r="A18" s="20"/>
      <c r="E18" s="20"/>
      <c r="I18" s="20"/>
    </row>
    <row r="19">
      <c r="A19" s="20"/>
      <c r="E19" s="20"/>
      <c r="I19" s="20"/>
    </row>
    <row r="20">
      <c r="A20" s="20"/>
      <c r="E20" s="20"/>
      <c r="I20" s="2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57"/>
    <col customWidth="1" min="2" max="2" width="8.14"/>
    <col customWidth="1" min="3" max="26" width="8.71"/>
  </cols>
  <sheetData>
    <row r="1">
      <c r="A1" s="21" t="s">
        <v>26</v>
      </c>
      <c r="B1" s="24" t="s">
        <v>27</v>
      </c>
    </row>
    <row r="2">
      <c r="A2" s="21" t="s">
        <v>28</v>
      </c>
      <c r="B2" s="25">
        <v>2.5</v>
      </c>
    </row>
    <row r="3">
      <c r="A3" s="21" t="s">
        <v>29</v>
      </c>
      <c r="B3" s="25">
        <v>2.0</v>
      </c>
    </row>
    <row r="4">
      <c r="A4" s="21" t="s">
        <v>30</v>
      </c>
      <c r="B4" s="26">
        <v>3.1</v>
      </c>
    </row>
    <row r="5">
      <c r="A5" s="21" t="s">
        <v>31</v>
      </c>
      <c r="B5" s="25">
        <v>1.1</v>
      </c>
    </row>
    <row r="6">
      <c r="A6" s="21" t="s">
        <v>32</v>
      </c>
      <c r="B6" s="25">
        <v>0.1</v>
      </c>
    </row>
    <row r="7">
      <c r="A7" s="21" t="s">
        <v>33</v>
      </c>
      <c r="B7" s="25">
        <v>0.9</v>
      </c>
    </row>
    <row r="8">
      <c r="A8" s="21" t="s">
        <v>34</v>
      </c>
      <c r="B8" s="25">
        <v>1.2</v>
      </c>
    </row>
    <row r="9">
      <c r="A9" s="21" t="s">
        <v>35</v>
      </c>
      <c r="B9" s="26"/>
    </row>
    <row r="10">
      <c r="A10" s="21" t="s">
        <v>36</v>
      </c>
      <c r="B10" s="26">
        <v>3.2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mk</dc:creator>
</cp:coreProperties>
</file>